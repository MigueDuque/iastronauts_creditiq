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C:\Users\User\OneDriveUniversidad EIA\Documentos\Valen\BTG Pactual\Proyectos\iastronauts_creditiq\test_files\"/>
    </mc:Choice>
  </mc:AlternateContent>
  <xr:revisionPtr revIDLastSave="0" documentId="13_ncr:1_{31261DBC-7DC9-4274-BEDE-B6803C59AC58}" xr6:coauthVersionLast="37" xr6:coauthVersionMax="37" xr10:uidLastSave="{00000000-0000-0000-0000-000000000000}"/>
  <bookViews>
    <workbookView xWindow="-120" yWindow="-120" windowWidth="29040" windowHeight="15720" firstSheet="9" activeTab="10" xr2:uid="{00000000-000D-0000-FFFF-FFFF00000000}"/>
  </bookViews>
  <sheets>
    <sheet name="BALANCE" sheetId="1" r:id="rId1"/>
    <sheet name="ESTADO_RESULTADOS" sheetId="2" r:id="rId2"/>
    <sheet name="ESTADO_CAMBIOS" sheetId="3" r:id="rId3"/>
    <sheet name="FLUJO_EFECTIVO" sheetId="4" r:id="rId4"/>
    <sheet name="VALOR_RAZONABLE_JERARQUIA" sheetId="5" r:id="rId5"/>
    <sheet name="VALOR_RAZONABLE_ACTIVOS" sheetId="6" r:id="rId6"/>
    <sheet name="VALOR_RAZONABLE_PASIVOS" sheetId="7" r:id="rId7"/>
    <sheet name="PARTES_RELACIONADAS_ACTIVOS" sheetId="8" r:id="rId8"/>
    <sheet name="PARTES_RELACIONADAS_PASIVOS" sheetId="9" r:id="rId9"/>
    <sheet name="EFECTIVO" sheetId="10" r:id="rId10"/>
    <sheet name="INSTRUMENTOS" sheetId="11" r:id="rId11"/>
    <sheet name="CUENTAS_POR_PAGAR" sheetId="12" r:id="rId12"/>
    <sheet name="ACTIVOS_NETOS_ACTUAL" sheetId="13" r:id="rId13"/>
    <sheet name="ACTIVOS_NETOS_ANTERIOR" sheetId="14" r:id="rId14"/>
    <sheet name="INGRESOS_OPE" sheetId="15" r:id="rId15"/>
    <sheet name="GASTOS_OPE" sheetId="16" r:id="rId16"/>
    <sheet name="GASTOS_ADM" sheetId="17" r:id="rId17"/>
    <sheet name="RIESGOS" sheetId="18" r:id="rId18"/>
  </sheets>
  <calcPr calcId="179021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E24" i="11" l="1"/>
  <c r="C24" i="11"/>
  <c r="E6" i="11"/>
  <c r="C6" i="11"/>
</calcChain>
</file>

<file path=xl/sharedStrings.xml><?xml version="1.0" encoding="utf-8"?>
<sst xmlns="http://schemas.openxmlformats.org/spreadsheetml/2006/main" count="237" uniqueCount="163">
  <si>
    <t>JUNIO 2025</t>
  </si>
  <si>
    <t>DICIEMBRE 2024</t>
  </si>
  <si>
    <t>(No Auditado)</t>
  </si>
  <si>
    <t>(Auditado)</t>
  </si>
  <si>
    <t>Activo</t>
  </si>
  <si>
    <t>Instrumentos financieros de inversión</t>
  </si>
  <si>
    <t>Cuentas por cobrar</t>
  </si>
  <si>
    <t>Total activos</t>
  </si>
  <si>
    <t>Pasivo</t>
  </si>
  <si>
    <t>Pasivos financieros</t>
  </si>
  <si>
    <t>Total pasivos</t>
  </si>
  <si>
    <t>Activos netos de los inversionistas</t>
  </si>
  <si>
    <t>Utilidad del período</t>
  </si>
  <si>
    <t>Total activo neto de los inversionistas</t>
  </si>
  <si>
    <t>Acumulado</t>
  </si>
  <si>
    <t>Trimestral</t>
  </si>
  <si>
    <t>JUNIO DE 2025</t>
  </si>
  <si>
    <t>JUNIO DE 2024</t>
  </si>
  <si>
    <t>1 DE ABRIL AL 30 DE JUNIO DE 2025</t>
  </si>
  <si>
    <t>1 DE ABRIL AL 30 DE JUNIO DE 2024</t>
  </si>
  <si>
    <t>(No auditado)</t>
  </si>
  <si>
    <t>Concepto</t>
  </si>
  <si>
    <t>Jun 2025</t>
  </si>
  <si>
    <t>Jun 2024</t>
  </si>
  <si>
    <t>Trim 2025</t>
  </si>
  <si>
    <t>Trim 2024</t>
  </si>
  <si>
    <t>Ingresos operacionales</t>
  </si>
  <si>
    <t>Gastos operacionales</t>
  </si>
  <si>
    <t>Utilidad por actividades de operación</t>
  </si>
  <si>
    <t>Gastos administrativos</t>
  </si>
  <si>
    <t>Resultado integral del período</t>
  </si>
  <si>
    <t>Activos netos iniciales</t>
  </si>
  <si>
    <t>Aporte inversionistas</t>
  </si>
  <si>
    <t>Retiro inversionistas</t>
  </si>
  <si>
    <t>Activos netos de los inversionistas al final del período</t>
  </si>
  <si>
    <t>Flujo de efectivo de actividades de operación</t>
  </si>
  <si>
    <t>Utilidad valoración inversiones</t>
  </si>
  <si>
    <t>Disminución inversiones</t>
  </si>
  <si>
    <t>Aumento cuentas por cobrar</t>
  </si>
  <si>
    <t>Aumento/disminución cuentas por pagar</t>
  </si>
  <si>
    <t>Aumento pasivos financieros</t>
  </si>
  <si>
    <t>Efectivo neto operación</t>
  </si>
  <si>
    <t>Flujo de efectivo de actividades de financiación</t>
  </si>
  <si>
    <t>Efectivo neto financiación</t>
  </si>
  <si>
    <t>Aumento/disminución efectivo</t>
  </si>
  <si>
    <t>Efectivo inicio período</t>
  </si>
  <si>
    <t>Efectivo al final del período</t>
  </si>
  <si>
    <t>DICIEMBRE DE 2024</t>
  </si>
  <si>
    <t>Nivel 1</t>
  </si>
  <si>
    <t>Nivel 2</t>
  </si>
  <si>
    <t>Instrumentos de Deuda</t>
  </si>
  <si>
    <t>TES</t>
  </si>
  <si>
    <t>Bonos</t>
  </si>
  <si>
    <t>Total Instrumentos de Deuda</t>
  </si>
  <si>
    <t>Acciones Internacionales</t>
  </si>
  <si>
    <t>Acciones Locales</t>
  </si>
  <si>
    <t>ETF</t>
  </si>
  <si>
    <t>Fondos de Inversión</t>
  </si>
  <si>
    <t>Compromisos Futuros</t>
  </si>
  <si>
    <t>Total Instrumentos de Patrimonio</t>
  </si>
  <si>
    <t>Total Compromisos Futuros</t>
  </si>
  <si>
    <t>Total Activos Financieros</t>
  </si>
  <si>
    <t>DICIEMBRE DE 2025</t>
  </si>
  <si>
    <t>Activos Financieros</t>
  </si>
  <si>
    <t>Valor razonable</t>
  </si>
  <si>
    <t>Valor en libros</t>
  </si>
  <si>
    <t>Instrumentos financieros</t>
  </si>
  <si>
    <t>Total activos financieros</t>
  </si>
  <si>
    <t>Cuentas por pagar</t>
  </si>
  <si>
    <t>Total pasivos financieros</t>
  </si>
  <si>
    <t>Parte Relacionada</t>
  </si>
  <si>
    <t>Operación</t>
  </si>
  <si>
    <t>Fondos administrados por BTG Pactual S.A. Comisionista de Bolsa</t>
  </si>
  <si>
    <t>BTG Pactual S.A. Comisionista de Bolsa</t>
  </si>
  <si>
    <t>Comisión de administración</t>
  </si>
  <si>
    <t>Efectivo</t>
  </si>
  <si>
    <t>Entidad</t>
  </si>
  <si>
    <t>Calificación</t>
  </si>
  <si>
    <t>Junio 2025</t>
  </si>
  <si>
    <t>Diciembre 2024</t>
  </si>
  <si>
    <t>Money Market</t>
  </si>
  <si>
    <t>Banco de Occidente S.A.</t>
  </si>
  <si>
    <t>AAA</t>
  </si>
  <si>
    <t>Banco BTG Pactual Colombia S.A.</t>
  </si>
  <si>
    <t>Bancolombia S.A.</t>
  </si>
  <si>
    <t>Total</t>
  </si>
  <si>
    <t>Inversiones</t>
  </si>
  <si>
    <t>Instrumentos de Patrimonio</t>
  </si>
  <si>
    <t>Emisor</t>
  </si>
  <si>
    <t>Nominal 2025</t>
  </si>
  <si>
    <t>Valor 2025</t>
  </si>
  <si>
    <t>Nominal 2024</t>
  </si>
  <si>
    <t>Valor 2024</t>
  </si>
  <si>
    <t>Ministerio de Hacienda y Crédito Público</t>
  </si>
  <si>
    <t>2,537,500,000</t>
  </si>
  <si>
    <t>7,020,000,000</t>
  </si>
  <si>
    <t>Gobierno de los Estados Unidos</t>
  </si>
  <si>
    <t>586,000</t>
  </si>
  <si>
    <t>Subtotal Instrumentos de Deuda</t>
  </si>
  <si>
    <t>191,345</t>
  </si>
  <si>
    <t>165,916</t>
  </si>
  <si>
    <t>SSGA Funds Management INC</t>
  </si>
  <si>
    <t>1,168</t>
  </si>
  <si>
    <t>Ishares Core MSCI Em IMI UCITS EIMI LN</t>
  </si>
  <si>
    <t>9,715</t>
  </si>
  <si>
    <t>Grupo CIBEST SA</t>
  </si>
  <si>
    <t>28,657</t>
  </si>
  <si>
    <t>Gobierno de la Unión Europea</t>
  </si>
  <si>
    <t>Cuentas por Pagar</t>
  </si>
  <si>
    <t>Acreedores</t>
  </si>
  <si>
    <t>Comisión administración</t>
  </si>
  <si>
    <t>Retención por pagar</t>
  </si>
  <si>
    <t>Activos Netos 2025</t>
  </si>
  <si>
    <t>Clase</t>
  </si>
  <si>
    <t>Valor Unidad</t>
  </si>
  <si>
    <t>Unidades</t>
  </si>
  <si>
    <t>Suscriptores</t>
  </si>
  <si>
    <t>Valor Fondo</t>
  </si>
  <si>
    <t>Dinámico Clase I</t>
  </si>
  <si>
    <t>Dinámico Clase B</t>
  </si>
  <si>
    <t>Dinámico Clase P</t>
  </si>
  <si>
    <t>Dinámico Clase A</t>
  </si>
  <si>
    <t>Dinámico Clase F</t>
  </si>
  <si>
    <t>Activos Netos 2024</t>
  </si>
  <si>
    <t>Ingresos Operacionales</t>
  </si>
  <si>
    <t>2025 Acum</t>
  </si>
  <si>
    <t>2024 Acum</t>
  </si>
  <si>
    <t>2025 Trim</t>
  </si>
  <si>
    <t>2024 Trim</t>
  </si>
  <si>
    <t>Valoración inversiones en títulos participativos</t>
  </si>
  <si>
    <t>Valoración derivados de cobertura</t>
  </si>
  <si>
    <t>Dividendos</t>
  </si>
  <si>
    <t>Valoración inversiones en títulos de deuda</t>
  </si>
  <si>
    <t>Ingresos mercado monetario</t>
  </si>
  <si>
    <t>Otros ingresos</t>
  </si>
  <si>
    <t>Valoración operaciones contado</t>
  </si>
  <si>
    <t>Gastos Operacionales</t>
  </si>
  <si>
    <t>Venta inversiones deuda</t>
  </si>
  <si>
    <t>Venta inversiones otros</t>
  </si>
  <si>
    <t>Valoración derivados</t>
  </si>
  <si>
    <t>Custodia valores</t>
  </si>
  <si>
    <t>Gastos Administrativos</t>
  </si>
  <si>
    <t>Honorarios revisoría</t>
  </si>
  <si>
    <t>GMF</t>
  </si>
  <si>
    <t>Gastos bancarios</t>
  </si>
  <si>
    <t>Impuesto timbre</t>
  </si>
  <si>
    <t>Riesgo Mercado</t>
  </si>
  <si>
    <t>VL 2025</t>
  </si>
  <si>
    <t>Traded 2025</t>
  </si>
  <si>
    <t>NonTraded 2025</t>
  </si>
  <si>
    <t>VL 2024</t>
  </si>
  <si>
    <t>Subtotal</t>
  </si>
  <si>
    <t>Btg Pactual Fondo Liquidez</t>
  </si>
  <si>
    <t>Invesco QQQ Trust Series 1</t>
  </si>
  <si>
    <t>Ishares Core s&amp;p 500 UCITS</t>
  </si>
  <si>
    <t>Interconexión eléctrica S.A E.S.P</t>
  </si>
  <si>
    <t>Suzano sa</t>
  </si>
  <si>
    <t>Teleperformance</t>
  </si>
  <si>
    <t>Apple INC</t>
  </si>
  <si>
    <t>Btg Pactual Fondo Acciones Colombia</t>
  </si>
  <si>
    <t>Btg Pactual Fondo Deuda Privada</t>
  </si>
  <si>
    <t>Ishares Corp Bond UCITS ETF</t>
  </si>
  <si>
    <t>Vanguard USD Treasury Bond UCITS ETF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</si>
</sst>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$\ #,##0;[Red]\-\$\ #,##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BDD7EE"/>
      </patternFill>
    </fill>
    <fill>
      <patternFill patternType="solid">
        <fgColor theme="8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">
    <xf numFmtId="0" fontId="0" fillId="0" borderId="0"/>
    <xf numFmtId="43" fontId="6" fillId="0" borderId="0" applyFont="0" applyFill="0" applyBorder="0" applyAlignment="0" applyProtection="0"/>
  </cellStyleXfs>
  <cellXfs count="31">
    <xf numFmtId="0" fontId="0" fillId="0" borderId="0" xfId="0"/>
    <xf numFmtId="0" fontId="2" fillId="3" borderId="1" xfId="0" applyFont="1" applyFill="1" applyBorder="1" applyAlignment="1">
      <alignment horizontal="center" wrapText="1"/>
    </xf>
    <xf numFmtId="0" fontId="0" fillId="0" borderId="1" xfId="0" applyBorder="1"/>
    <xf numFmtId="164" fontId="0" fillId="0" borderId="1" xfId="0" applyNumberFormat="1" applyBorder="1"/>
    <xf numFmtId="0" fontId="2" fillId="4" borderId="1" xfId="0" applyFont="1" applyFill="1" applyBorder="1"/>
    <xf numFmtId="164" fontId="2" fillId="4" borderId="1" xfId="0" applyNumberFormat="1" applyFont="1" applyFill="1" applyBorder="1"/>
    <xf numFmtId="0" fontId="4" fillId="4" borderId="1" xfId="0" applyFont="1" applyFill="1" applyBorder="1"/>
    <xf numFmtId="0" fontId="0" fillId="0" borderId="0" xfId="0"/>
    <xf numFmtId="0" fontId="3" fillId="0" borderId="2" xfId="0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 wrapText="1"/>
    </xf>
    <xf numFmtId="0" fontId="3" fillId="0" borderId="2" xfId="0" applyFont="1" applyBorder="1"/>
    <xf numFmtId="0" fontId="4" fillId="3" borderId="1" xfId="0" applyFont="1" applyFill="1" applyBorder="1" applyAlignment="1">
      <alignment horizontal="center" wrapText="1"/>
    </xf>
    <xf numFmtId="0" fontId="5" fillId="4" borderId="1" xfId="0" applyFont="1" applyFill="1" applyBorder="1"/>
    <xf numFmtId="0" fontId="5" fillId="0" borderId="1" xfId="0" applyFont="1" applyBorder="1"/>
    <xf numFmtId="0" fontId="5" fillId="0" borderId="0" xfId="0" applyFont="1"/>
    <xf numFmtId="0" fontId="0" fillId="0" borderId="0" xfId="0"/>
    <xf numFmtId="0" fontId="2" fillId="3" borderId="1" xfId="0" applyFont="1" applyFill="1" applyBorder="1" applyAlignment="1">
      <alignment horizontal="center" wrapText="1"/>
    </xf>
    <xf numFmtId="0" fontId="0" fillId="0" borderId="4" xfId="0" applyBorder="1"/>
    <xf numFmtId="0" fontId="0" fillId="0" borderId="3" xfId="0" applyBorder="1"/>
    <xf numFmtId="0" fontId="3" fillId="5" borderId="2" xfId="0" applyFont="1" applyFill="1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/>
    <xf numFmtId="0" fontId="3" fillId="0" borderId="2" xfId="0" applyFont="1" applyBorder="1" applyAlignment="1">
      <alignment horizontal="center"/>
    </xf>
    <xf numFmtId="0" fontId="2" fillId="0" borderId="1" xfId="0" applyFont="1" applyBorder="1"/>
    <xf numFmtId="0" fontId="7" fillId="0" borderId="1" xfId="0" applyFont="1" applyBorder="1"/>
    <xf numFmtId="0" fontId="4" fillId="0" borderId="0" xfId="0" applyFont="1"/>
    <xf numFmtId="0" fontId="0" fillId="0" borderId="0" xfId="0" applyFill="1" applyBorder="1"/>
    <xf numFmtId="43" fontId="0" fillId="0" borderId="0" xfId="1" applyFont="1"/>
    <xf numFmtId="164" fontId="0" fillId="0" borderId="0" xfId="0" applyNumberFormat="1" applyFill="1" applyBorder="1"/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"/>
  <sheetViews>
    <sheetView workbookViewId="0">
      <selection activeCell="B1" sqref="B1:C2"/>
    </sheetView>
  </sheetViews>
  <sheetFormatPr baseColWidth="10" defaultColWidth="9.140625" defaultRowHeight="15" x14ac:dyDescent="0.25"/>
  <cols>
    <col min="1" max="1" width="43" style="7" customWidth="1"/>
    <col min="2" max="2" width="16" style="7" customWidth="1"/>
    <col min="3" max="3" width="20" style="7" customWidth="1"/>
  </cols>
  <sheetData>
    <row r="1" spans="1:3" x14ac:dyDescent="0.25">
      <c r="A1" s="1"/>
      <c r="B1" s="9" t="s">
        <v>0</v>
      </c>
      <c r="C1" s="9" t="s">
        <v>1</v>
      </c>
    </row>
    <row r="2" spans="1:3" x14ac:dyDescent="0.25">
      <c r="A2" s="1"/>
      <c r="B2" s="1" t="s">
        <v>2</v>
      </c>
      <c r="C2" s="1" t="s">
        <v>3</v>
      </c>
    </row>
    <row r="3" spans="1:3" x14ac:dyDescent="0.25">
      <c r="A3" s="2" t="s">
        <v>4</v>
      </c>
      <c r="B3" s="3">
        <v>7730123</v>
      </c>
      <c r="C3" s="3">
        <v>7243399</v>
      </c>
    </row>
    <row r="4" spans="1:3" x14ac:dyDescent="0.25">
      <c r="A4" s="2" t="s">
        <v>5</v>
      </c>
      <c r="B4" s="3">
        <v>29609798</v>
      </c>
      <c r="C4" s="3">
        <v>33743259</v>
      </c>
    </row>
    <row r="5" spans="1:3" x14ac:dyDescent="0.25">
      <c r="A5" s="2" t="s">
        <v>6</v>
      </c>
      <c r="B5" s="3">
        <v>1563</v>
      </c>
      <c r="C5" s="3">
        <v>0</v>
      </c>
    </row>
    <row r="6" spans="1:3" x14ac:dyDescent="0.25">
      <c r="A6" s="12" t="s">
        <v>7</v>
      </c>
      <c r="B6" s="5">
        <v>37341484</v>
      </c>
      <c r="C6" s="5">
        <v>40986658</v>
      </c>
    </row>
    <row r="7" spans="1:3" x14ac:dyDescent="0.25">
      <c r="A7" s="2" t="s">
        <v>8</v>
      </c>
      <c r="B7" s="3">
        <v>34521</v>
      </c>
      <c r="C7" s="3">
        <v>31140</v>
      </c>
    </row>
    <row r="8" spans="1:3" x14ac:dyDescent="0.25">
      <c r="A8" s="4" t="s">
        <v>9</v>
      </c>
      <c r="B8" s="5">
        <v>13001</v>
      </c>
      <c r="C8" s="5">
        <v>0</v>
      </c>
    </row>
    <row r="9" spans="1:3" x14ac:dyDescent="0.25">
      <c r="A9" s="13" t="s">
        <v>10</v>
      </c>
      <c r="B9" s="3">
        <v>47522</v>
      </c>
      <c r="C9" s="3">
        <v>31140</v>
      </c>
    </row>
    <row r="10" spans="1:3" x14ac:dyDescent="0.25">
      <c r="A10" s="2" t="s">
        <v>11</v>
      </c>
      <c r="B10" s="3">
        <v>35414847</v>
      </c>
      <c r="C10" s="3">
        <v>37345780</v>
      </c>
    </row>
    <row r="11" spans="1:3" x14ac:dyDescent="0.25">
      <c r="A11" s="4" t="s">
        <v>12</v>
      </c>
      <c r="B11" s="5">
        <v>1879115</v>
      </c>
      <c r="C11" s="5">
        <v>3609738</v>
      </c>
    </row>
    <row r="12" spans="1:3" x14ac:dyDescent="0.25">
      <c r="A12" t="s">
        <v>13</v>
      </c>
      <c r="B12">
        <v>37293962</v>
      </c>
      <c r="C12">
        <v>40955518</v>
      </c>
    </row>
    <row r="13" spans="1:3" x14ac:dyDescent="0.25">
      <c r="A13" s="1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selection activeCell="D16" sqref="D16"/>
    </sheetView>
  </sheetViews>
  <sheetFormatPr baseColWidth="10" defaultColWidth="9.140625" defaultRowHeight="15" x14ac:dyDescent="0.25"/>
  <cols>
    <col min="1" max="1" width="21.5703125" style="7" bestFit="1" customWidth="1"/>
    <col min="2" max="2" width="11.5703125" style="7" bestFit="1" customWidth="1"/>
    <col min="3" max="3" width="10.5703125" style="7" bestFit="1" customWidth="1"/>
    <col min="4" max="5" width="27" style="7" bestFit="1" customWidth="1"/>
  </cols>
  <sheetData>
    <row r="1" spans="1:5" x14ac:dyDescent="0.25">
      <c r="B1" s="16" t="s">
        <v>14</v>
      </c>
      <c r="C1" s="17"/>
      <c r="D1" s="16" t="s">
        <v>15</v>
      </c>
      <c r="E1" s="17"/>
    </row>
    <row r="2" spans="1:5" ht="30" customHeight="1" x14ac:dyDescent="0.25">
      <c r="B2" s="1" t="s">
        <v>16</v>
      </c>
      <c r="C2" s="1" t="s">
        <v>17</v>
      </c>
      <c r="D2" s="1" t="s">
        <v>18</v>
      </c>
      <c r="E2" s="1" t="s">
        <v>19</v>
      </c>
    </row>
    <row r="3" spans="1:5" x14ac:dyDescent="0.25">
      <c r="B3" s="16" t="s">
        <v>20</v>
      </c>
      <c r="C3" s="18"/>
      <c r="D3" s="18"/>
      <c r="E3" s="17"/>
    </row>
    <row r="4" spans="1:5" x14ac:dyDescent="0.25">
      <c r="A4" s="1" t="s">
        <v>21</v>
      </c>
      <c r="B4" s="1" t="s">
        <v>22</v>
      </c>
      <c r="C4" s="1" t="s">
        <v>23</v>
      </c>
      <c r="D4" s="1" t="s">
        <v>24</v>
      </c>
      <c r="E4" s="1" t="s">
        <v>25</v>
      </c>
    </row>
    <row r="5" spans="1:5" x14ac:dyDescent="0.25">
      <c r="A5" s="2" t="s">
        <v>26</v>
      </c>
      <c r="B5" s="3">
        <v>2632705</v>
      </c>
      <c r="C5" s="3">
        <v>2712177</v>
      </c>
      <c r="D5" s="3">
        <v>1699793</v>
      </c>
      <c r="E5" s="3">
        <v>2014496</v>
      </c>
    </row>
    <row r="6" spans="1:5" x14ac:dyDescent="0.25">
      <c r="A6" s="2" t="s">
        <v>27</v>
      </c>
      <c r="B6" s="3">
        <v>-520981</v>
      </c>
      <c r="C6" s="3">
        <v>-219857</v>
      </c>
      <c r="D6" s="3">
        <v>-356628</v>
      </c>
      <c r="E6" s="3">
        <v>-327991</v>
      </c>
    </row>
    <row r="7" spans="1:5" x14ac:dyDescent="0.25">
      <c r="A7" s="2" t="s">
        <v>28</v>
      </c>
      <c r="B7" s="3">
        <v>2111724</v>
      </c>
      <c r="C7" s="3">
        <v>2492320</v>
      </c>
      <c r="D7" s="3">
        <v>1343165</v>
      </c>
      <c r="E7" s="3">
        <v>1686505</v>
      </c>
    </row>
    <row r="8" spans="1:5" x14ac:dyDescent="0.25">
      <c r="A8" s="2" t="s">
        <v>29</v>
      </c>
      <c r="B8" s="3">
        <v>-232609</v>
      </c>
      <c r="C8" s="3">
        <v>-254527</v>
      </c>
      <c r="D8" s="3">
        <v>-112695</v>
      </c>
      <c r="E8" s="3">
        <v>-124519</v>
      </c>
    </row>
    <row r="9" spans="1:5" x14ac:dyDescent="0.25">
      <c r="A9" s="2" t="s">
        <v>12</v>
      </c>
      <c r="B9" s="3">
        <v>1879115</v>
      </c>
      <c r="C9" s="3">
        <v>2237793</v>
      </c>
      <c r="D9" s="3">
        <v>1230470</v>
      </c>
      <c r="E9" s="3">
        <v>1561986</v>
      </c>
    </row>
    <row r="10" spans="1:5" x14ac:dyDescent="0.25">
      <c r="A10" s="14" t="s">
        <v>30</v>
      </c>
      <c r="B10">
        <v>1879115</v>
      </c>
      <c r="C10">
        <v>2237793</v>
      </c>
      <c r="D10">
        <v>1230470</v>
      </c>
      <c r="E10">
        <v>1561986</v>
      </c>
    </row>
  </sheetData>
  <mergeCells count="3">
    <mergeCell ref="B1:C1"/>
    <mergeCell ref="B3:E3"/>
    <mergeCell ref="D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workbookViewId="0">
      <selection activeCell="C6" sqref="C6"/>
    </sheetView>
  </sheetViews>
  <sheetFormatPr baseColWidth="10" defaultColWidth="9.140625" defaultRowHeight="15" x14ac:dyDescent="0.25"/>
  <cols>
    <col min="1" max="1" width="29" style="7" customWidth="1"/>
    <col min="2" max="3" width="16" style="7" customWidth="1"/>
  </cols>
  <sheetData>
    <row r="1" spans="1:3" x14ac:dyDescent="0.25">
      <c r="B1" s="1" t="s">
        <v>16</v>
      </c>
      <c r="C1" s="1" t="s">
        <v>17</v>
      </c>
    </row>
    <row r="2" spans="1:3" x14ac:dyDescent="0.25">
      <c r="A2" s="1" t="s">
        <v>21</v>
      </c>
      <c r="B2" s="16" t="s">
        <v>20</v>
      </c>
      <c r="C2" s="17"/>
    </row>
    <row r="3" spans="1:3" x14ac:dyDescent="0.25">
      <c r="A3" s="2" t="s">
        <v>31</v>
      </c>
      <c r="B3" s="3">
        <v>40955518</v>
      </c>
      <c r="C3" s="3">
        <v>44075132</v>
      </c>
    </row>
    <row r="4" spans="1:3" x14ac:dyDescent="0.25">
      <c r="A4" s="2" t="s">
        <v>32</v>
      </c>
      <c r="B4" s="3">
        <v>9307698</v>
      </c>
      <c r="C4" s="3">
        <v>8794134</v>
      </c>
    </row>
    <row r="5" spans="1:3" x14ac:dyDescent="0.25">
      <c r="A5" s="2" t="s">
        <v>33</v>
      </c>
      <c r="B5" s="3">
        <v>-14848369</v>
      </c>
      <c r="C5" s="3">
        <v>-13845394</v>
      </c>
    </row>
    <row r="6" spans="1:3" x14ac:dyDescent="0.25">
      <c r="A6" s="2" t="s">
        <v>12</v>
      </c>
      <c r="B6" s="3">
        <v>1879115</v>
      </c>
      <c r="C6" s="3">
        <v>2237793</v>
      </c>
    </row>
    <row r="7" spans="1:3" x14ac:dyDescent="0.25">
      <c r="A7" s="13" t="s">
        <v>34</v>
      </c>
      <c r="B7" s="3">
        <v>37293962</v>
      </c>
      <c r="C7" s="3">
        <v>41261665</v>
      </c>
    </row>
  </sheetData>
  <mergeCells count="1">
    <mergeCell ref="B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5"/>
  <sheetViews>
    <sheetView workbookViewId="0">
      <selection activeCell="C10" sqref="C10"/>
    </sheetView>
  </sheetViews>
  <sheetFormatPr baseColWidth="10" defaultColWidth="9.140625" defaultRowHeight="15" x14ac:dyDescent="0.25"/>
  <cols>
    <col min="1" max="1" width="37" style="7" customWidth="1"/>
    <col min="2" max="3" width="16" style="7" customWidth="1"/>
  </cols>
  <sheetData>
    <row r="1" spans="1:3" x14ac:dyDescent="0.25">
      <c r="B1" s="1" t="s">
        <v>16</v>
      </c>
      <c r="C1" s="1" t="s">
        <v>17</v>
      </c>
    </row>
    <row r="2" spans="1:3" ht="30" x14ac:dyDescent="0.25">
      <c r="A2" s="1" t="s">
        <v>35</v>
      </c>
      <c r="B2" s="16" t="s">
        <v>20</v>
      </c>
      <c r="C2" s="17"/>
    </row>
    <row r="3" spans="1:3" x14ac:dyDescent="0.25">
      <c r="A3" s="2" t="s">
        <v>12</v>
      </c>
      <c r="B3" s="3">
        <v>1879115</v>
      </c>
      <c r="C3" s="3">
        <v>2237793</v>
      </c>
    </row>
    <row r="4" spans="1:3" x14ac:dyDescent="0.25">
      <c r="A4" s="2" t="s">
        <v>36</v>
      </c>
      <c r="B4" s="3">
        <v>-2175342</v>
      </c>
      <c r="C4" s="3">
        <v>-1636665</v>
      </c>
    </row>
    <row r="5" spans="1:3" x14ac:dyDescent="0.25">
      <c r="A5" s="2" t="s">
        <v>37</v>
      </c>
      <c r="B5" s="3">
        <v>6308803</v>
      </c>
      <c r="C5" s="3">
        <v>4146121</v>
      </c>
    </row>
    <row r="6" spans="1:3" x14ac:dyDescent="0.25">
      <c r="A6" s="2" t="s">
        <v>38</v>
      </c>
      <c r="B6" s="3">
        <v>-1563</v>
      </c>
      <c r="C6" s="3">
        <v>-75796</v>
      </c>
    </row>
    <row r="7" spans="1:3" x14ac:dyDescent="0.25">
      <c r="A7" s="2" t="s">
        <v>39</v>
      </c>
      <c r="B7" s="3">
        <v>3381</v>
      </c>
      <c r="C7" s="3">
        <v>-6084</v>
      </c>
    </row>
    <row r="8" spans="1:3" x14ac:dyDescent="0.25">
      <c r="A8" s="2" t="s">
        <v>40</v>
      </c>
      <c r="B8" s="3">
        <v>13001</v>
      </c>
      <c r="C8" s="3">
        <v>0</v>
      </c>
    </row>
    <row r="9" spans="1:3" x14ac:dyDescent="0.25">
      <c r="A9" s="2" t="s">
        <v>41</v>
      </c>
      <c r="B9" s="3">
        <v>6027395</v>
      </c>
      <c r="C9" s="3">
        <v>4665369</v>
      </c>
    </row>
    <row r="10" spans="1:3" x14ac:dyDescent="0.25">
      <c r="A10" s="2" t="s">
        <v>42</v>
      </c>
      <c r="B10" s="3">
        <v>9307698</v>
      </c>
      <c r="C10" s="3">
        <v>8794134</v>
      </c>
    </row>
    <row r="11" spans="1:3" x14ac:dyDescent="0.25">
      <c r="A11" s="2" t="s">
        <v>33</v>
      </c>
      <c r="B11" s="3">
        <v>-14848369</v>
      </c>
      <c r="C11" s="3">
        <v>-13845394</v>
      </c>
    </row>
    <row r="12" spans="1:3" x14ac:dyDescent="0.25">
      <c r="A12" s="2" t="s">
        <v>43</v>
      </c>
      <c r="B12" s="3">
        <v>-5540671</v>
      </c>
      <c r="C12" s="3">
        <v>-5051260</v>
      </c>
    </row>
    <row r="13" spans="1:3" x14ac:dyDescent="0.25">
      <c r="A13" s="2" t="s">
        <v>44</v>
      </c>
      <c r="B13" s="3">
        <v>486724</v>
      </c>
      <c r="C13" s="3">
        <v>-385891</v>
      </c>
    </row>
    <row r="14" spans="1:3" x14ac:dyDescent="0.25">
      <c r="A14" s="2" t="s">
        <v>45</v>
      </c>
      <c r="B14" s="3">
        <v>7243399</v>
      </c>
      <c r="C14" s="3">
        <v>4142017</v>
      </c>
    </row>
    <row r="15" spans="1:3" x14ac:dyDescent="0.25">
      <c r="A15" s="14" t="s">
        <v>46</v>
      </c>
      <c r="B15">
        <v>7730123</v>
      </c>
      <c r="C15">
        <v>3756126</v>
      </c>
    </row>
  </sheetData>
  <mergeCells count="1">
    <mergeCell ref="B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selection activeCell="B18" sqref="B18"/>
    </sheetView>
  </sheetViews>
  <sheetFormatPr baseColWidth="10" defaultColWidth="9.140625" defaultRowHeight="15" x14ac:dyDescent="0.25"/>
  <cols>
    <col min="1" max="1" width="35" style="7" customWidth="1"/>
    <col min="2" max="5" width="18" style="7" customWidth="1"/>
  </cols>
  <sheetData>
    <row r="1" spans="1:5" x14ac:dyDescent="0.25">
      <c r="B1" s="19" t="s">
        <v>16</v>
      </c>
      <c r="C1" s="20"/>
      <c r="D1" s="19" t="s">
        <v>47</v>
      </c>
      <c r="E1" s="20"/>
    </row>
    <row r="2" spans="1:5" x14ac:dyDescent="0.25">
      <c r="B2" s="11" t="s">
        <v>48</v>
      </c>
      <c r="C2" s="11" t="s">
        <v>49</v>
      </c>
      <c r="D2" s="11" t="s">
        <v>48</v>
      </c>
      <c r="E2" s="11" t="s">
        <v>49</v>
      </c>
    </row>
    <row r="3" spans="1:5" x14ac:dyDescent="0.25">
      <c r="A3" s="10" t="s">
        <v>50</v>
      </c>
      <c r="B3" s="8"/>
      <c r="C3" s="8"/>
      <c r="D3" s="8"/>
      <c r="E3" s="8"/>
    </row>
    <row r="4" spans="1:5" x14ac:dyDescent="0.25">
      <c r="A4" s="2" t="s">
        <v>51</v>
      </c>
      <c r="B4" s="3">
        <v>15370075</v>
      </c>
      <c r="C4" s="3">
        <v>0</v>
      </c>
      <c r="D4" s="3">
        <v>12014361</v>
      </c>
      <c r="E4" s="3">
        <v>0</v>
      </c>
    </row>
    <row r="5" spans="1:5" x14ac:dyDescent="0.25">
      <c r="A5" s="2" t="s">
        <v>52</v>
      </c>
      <c r="B5" s="3">
        <v>2310491</v>
      </c>
      <c r="C5" s="3">
        <v>0</v>
      </c>
      <c r="D5" s="3">
        <v>0</v>
      </c>
      <c r="E5" s="3">
        <v>0</v>
      </c>
    </row>
    <row r="6" spans="1:5" x14ac:dyDescent="0.25">
      <c r="A6" s="12" t="s">
        <v>53</v>
      </c>
      <c r="B6" s="5">
        <v>17680566</v>
      </c>
      <c r="C6" s="5">
        <v>0</v>
      </c>
      <c r="D6" s="5">
        <v>12014361</v>
      </c>
      <c r="E6" s="5">
        <v>0</v>
      </c>
    </row>
    <row r="7" spans="1:5" x14ac:dyDescent="0.25">
      <c r="A7" s="6" t="s">
        <v>54</v>
      </c>
      <c r="B7" s="5">
        <v>344971</v>
      </c>
      <c r="C7" s="5">
        <v>0</v>
      </c>
      <c r="D7" s="5">
        <v>627154</v>
      </c>
      <c r="E7" s="5">
        <v>0</v>
      </c>
    </row>
    <row r="8" spans="1:5" x14ac:dyDescent="0.25">
      <c r="A8" t="s">
        <v>55</v>
      </c>
      <c r="B8">
        <v>1748848</v>
      </c>
      <c r="C8">
        <v>0</v>
      </c>
      <c r="D8">
        <v>480172</v>
      </c>
      <c r="E8">
        <v>0</v>
      </c>
    </row>
    <row r="9" spans="1:5" x14ac:dyDescent="0.25">
      <c r="A9" t="s">
        <v>56</v>
      </c>
      <c r="B9">
        <v>5878349</v>
      </c>
      <c r="C9">
        <v>0</v>
      </c>
      <c r="D9">
        <v>5516291</v>
      </c>
      <c r="E9">
        <v>4972223</v>
      </c>
    </row>
    <row r="10" spans="1:5" x14ac:dyDescent="0.25">
      <c r="A10" t="s">
        <v>57</v>
      </c>
      <c r="B10">
        <v>0</v>
      </c>
      <c r="C10">
        <v>3952756</v>
      </c>
      <c r="D10">
        <v>0</v>
      </c>
      <c r="E10">
        <v>10133058</v>
      </c>
    </row>
    <row r="11" spans="1:5" x14ac:dyDescent="0.25">
      <c r="A11" t="s">
        <v>58</v>
      </c>
    </row>
    <row r="12" spans="1:5" x14ac:dyDescent="0.25">
      <c r="A12" s="14" t="s">
        <v>59</v>
      </c>
      <c r="B12">
        <v>7972168</v>
      </c>
      <c r="C12">
        <v>3952756</v>
      </c>
      <c r="D12">
        <v>6623617</v>
      </c>
      <c r="E12">
        <v>15105281</v>
      </c>
    </row>
    <row r="15" spans="1:5" x14ac:dyDescent="0.25">
      <c r="A15" s="14" t="s">
        <v>60</v>
      </c>
      <c r="B15">
        <v>0</v>
      </c>
      <c r="C15">
        <v>4308</v>
      </c>
      <c r="D15">
        <v>0</v>
      </c>
      <c r="E15">
        <v>0</v>
      </c>
    </row>
    <row r="16" spans="1:5" x14ac:dyDescent="0.25">
      <c r="A16" s="14" t="s">
        <v>61</v>
      </c>
      <c r="B16">
        <v>25652734</v>
      </c>
      <c r="C16">
        <v>3957064</v>
      </c>
      <c r="D16">
        <v>18637978</v>
      </c>
      <c r="E16">
        <v>15105281</v>
      </c>
    </row>
  </sheetData>
  <mergeCells count="2">
    <mergeCell ref="B1:C1"/>
    <mergeCell ref="D1:E1"/>
  </mergeCells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5"/>
  <sheetViews>
    <sheetView workbookViewId="0">
      <selection activeCell="B12" sqref="B12"/>
    </sheetView>
  </sheetViews>
  <sheetFormatPr baseColWidth="10" defaultColWidth="9.140625" defaultRowHeight="15" x14ac:dyDescent="0.25"/>
  <cols>
    <col min="1" max="1" width="31" style="7" customWidth="1"/>
    <col min="2" max="5" width="14" style="7" customWidth="1"/>
  </cols>
  <sheetData>
    <row r="1" spans="1:5" x14ac:dyDescent="0.25">
      <c r="B1" s="21" t="s">
        <v>16</v>
      </c>
      <c r="C1" s="20"/>
      <c r="D1" s="21" t="s">
        <v>62</v>
      </c>
      <c r="E1" s="20"/>
    </row>
    <row r="2" spans="1:5" ht="30" customHeight="1" x14ac:dyDescent="0.25">
      <c r="A2" s="11" t="s">
        <v>63</v>
      </c>
      <c r="B2" s="11" t="s">
        <v>64</v>
      </c>
      <c r="C2" s="11" t="s">
        <v>65</v>
      </c>
      <c r="D2" s="11" t="s">
        <v>64</v>
      </c>
      <c r="E2" s="11" t="s">
        <v>65</v>
      </c>
    </row>
    <row r="3" spans="1:5" x14ac:dyDescent="0.25">
      <c r="A3" s="2" t="s">
        <v>66</v>
      </c>
      <c r="B3" s="3">
        <v>29609798</v>
      </c>
      <c r="C3" s="3">
        <v>29609798</v>
      </c>
      <c r="D3" s="3">
        <v>33743259</v>
      </c>
      <c r="E3" s="3">
        <v>33743259</v>
      </c>
    </row>
    <row r="4" spans="1:5" x14ac:dyDescent="0.25">
      <c r="A4" s="2" t="s">
        <v>6</v>
      </c>
      <c r="B4" s="3">
        <v>1563</v>
      </c>
      <c r="C4" s="3">
        <v>1563</v>
      </c>
      <c r="D4" s="3">
        <v>0</v>
      </c>
      <c r="E4" s="3">
        <v>0</v>
      </c>
    </row>
    <row r="5" spans="1:5" x14ac:dyDescent="0.25">
      <c r="A5" s="4" t="s">
        <v>67</v>
      </c>
      <c r="B5" s="5">
        <v>29611361</v>
      </c>
      <c r="C5" s="5">
        <v>29611361</v>
      </c>
      <c r="D5" s="5">
        <v>33743259</v>
      </c>
      <c r="E5" s="5">
        <v>33743259</v>
      </c>
    </row>
  </sheetData>
  <mergeCells count="2">
    <mergeCell ref="B1:C1"/>
    <mergeCell ref="D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4"/>
  <sheetViews>
    <sheetView workbookViewId="0">
      <selection activeCell="C17" sqref="C17"/>
    </sheetView>
  </sheetViews>
  <sheetFormatPr baseColWidth="10" defaultColWidth="9.140625" defaultRowHeight="15" x14ac:dyDescent="0.25"/>
  <cols>
    <col min="1" max="1" width="31" style="7" customWidth="1"/>
    <col min="2" max="5" width="13" style="7" customWidth="1"/>
  </cols>
  <sheetData>
    <row r="1" spans="1:5" x14ac:dyDescent="0.25">
      <c r="B1" s="19" t="s">
        <v>16</v>
      </c>
      <c r="C1" s="20"/>
      <c r="D1" s="19" t="s">
        <v>47</v>
      </c>
      <c r="E1" s="20"/>
    </row>
    <row r="2" spans="1:5" ht="30" customHeight="1" x14ac:dyDescent="0.25">
      <c r="A2" s="11" t="s">
        <v>9</v>
      </c>
      <c r="B2" s="11">
        <v>13001</v>
      </c>
      <c r="C2" s="11">
        <v>13001</v>
      </c>
      <c r="D2" s="11">
        <v>0</v>
      </c>
      <c r="E2" s="11">
        <v>0</v>
      </c>
    </row>
    <row r="3" spans="1:5" x14ac:dyDescent="0.25">
      <c r="A3" s="2" t="s">
        <v>68</v>
      </c>
      <c r="B3" s="3">
        <v>34521</v>
      </c>
      <c r="C3" s="3">
        <v>34521</v>
      </c>
      <c r="D3" s="3">
        <v>31140</v>
      </c>
      <c r="E3" s="3">
        <v>31140</v>
      </c>
    </row>
    <row r="4" spans="1:5" x14ac:dyDescent="0.25">
      <c r="A4" s="4" t="s">
        <v>69</v>
      </c>
      <c r="B4" s="5">
        <v>47522</v>
      </c>
      <c r="C4" s="5">
        <v>47522</v>
      </c>
      <c r="D4" s="5">
        <v>31140</v>
      </c>
      <c r="E4" s="5">
        <v>31140</v>
      </c>
    </row>
  </sheetData>
  <mergeCells count="2">
    <mergeCell ref="B1:C1"/>
    <mergeCell ref="D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2"/>
  <sheetViews>
    <sheetView workbookViewId="0">
      <selection activeCell="B11" sqref="B11"/>
    </sheetView>
  </sheetViews>
  <sheetFormatPr baseColWidth="10" defaultColWidth="9.140625" defaultRowHeight="15" x14ac:dyDescent="0.25"/>
  <cols>
    <col min="1" max="1" width="61" style="7" bestFit="1" customWidth="1"/>
    <col min="2" max="2" width="39" style="7" customWidth="1"/>
    <col min="3" max="3" width="16" style="7" customWidth="1"/>
    <col min="4" max="4" width="20" style="7" customWidth="1"/>
  </cols>
  <sheetData>
    <row r="1" spans="1:4" x14ac:dyDescent="0.25">
      <c r="A1" s="11" t="s">
        <v>70</v>
      </c>
      <c r="B1" s="11" t="s">
        <v>71</v>
      </c>
      <c r="C1" s="11" t="s">
        <v>16</v>
      </c>
      <c r="D1" s="11" t="s">
        <v>47</v>
      </c>
    </row>
    <row r="2" spans="1:4" x14ac:dyDescent="0.25">
      <c r="A2" s="2" t="s">
        <v>72</v>
      </c>
      <c r="B2" s="2" t="s">
        <v>57</v>
      </c>
      <c r="C2" s="3">
        <v>3952756</v>
      </c>
      <c r="D2" s="3">
        <v>10133058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2"/>
  <sheetViews>
    <sheetView workbookViewId="0">
      <selection activeCell="B10" sqref="B10"/>
    </sheetView>
  </sheetViews>
  <sheetFormatPr baseColWidth="10" defaultColWidth="38.85546875" defaultRowHeight="15" x14ac:dyDescent="0.25"/>
  <cols>
    <col min="1" max="1" width="59.42578125" style="7" bestFit="1" customWidth="1"/>
    <col min="2" max="2" width="25.85546875" style="7" bestFit="1" customWidth="1"/>
    <col min="3" max="3" width="14.5703125" style="7" bestFit="1" customWidth="1"/>
    <col min="4" max="4" width="18" style="7" bestFit="1" customWidth="1"/>
    <col min="5" max="5" width="38.85546875" style="7" customWidth="1"/>
    <col min="6" max="16384" width="38.85546875" style="7"/>
  </cols>
  <sheetData>
    <row r="1" spans="1:4" ht="45" customHeight="1" x14ac:dyDescent="0.25">
      <c r="A1" s="11" t="s">
        <v>70</v>
      </c>
      <c r="B1" s="11" t="s">
        <v>71</v>
      </c>
      <c r="C1" s="11" t="s">
        <v>16</v>
      </c>
      <c r="D1" s="11" t="s">
        <v>47</v>
      </c>
    </row>
    <row r="2" spans="1:4" x14ac:dyDescent="0.25">
      <c r="A2" s="2" t="s">
        <v>73</v>
      </c>
      <c r="B2" t="s">
        <v>74</v>
      </c>
      <c r="C2" s="3">
        <v>6157</v>
      </c>
      <c r="D2" s="3">
        <v>7586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8"/>
  <sheetViews>
    <sheetView workbookViewId="0">
      <selection sqref="A1:D1"/>
    </sheetView>
  </sheetViews>
  <sheetFormatPr baseColWidth="10" defaultColWidth="9.140625" defaultRowHeight="15" x14ac:dyDescent="0.25"/>
  <cols>
    <col min="1" max="1" width="24" style="7" customWidth="1"/>
    <col min="2" max="2" width="18" style="7" customWidth="1"/>
    <col min="3" max="3" width="16" style="7" customWidth="1"/>
    <col min="4" max="4" width="20" style="7" customWidth="1"/>
  </cols>
  <sheetData>
    <row r="1" spans="1:4" x14ac:dyDescent="0.25">
      <c r="A1" s="22" t="s">
        <v>75</v>
      </c>
      <c r="B1" s="23"/>
      <c r="C1" s="23"/>
      <c r="D1" s="23"/>
    </row>
    <row r="3" spans="1:4" x14ac:dyDescent="0.25">
      <c r="A3" s="1" t="s">
        <v>76</v>
      </c>
      <c r="B3" s="1" t="s">
        <v>77</v>
      </c>
      <c r="C3" s="1" t="s">
        <v>78</v>
      </c>
      <c r="D3" s="1" t="s">
        <v>79</v>
      </c>
    </row>
    <row r="4" spans="1:4" x14ac:dyDescent="0.25">
      <c r="A4" s="2" t="s">
        <v>80</v>
      </c>
      <c r="B4" s="2"/>
      <c r="C4" s="3">
        <v>6684333</v>
      </c>
      <c r="D4" s="3">
        <v>7109624</v>
      </c>
    </row>
    <row r="5" spans="1:4" x14ac:dyDescent="0.25">
      <c r="A5" s="2" t="s">
        <v>81</v>
      </c>
      <c r="B5" s="2" t="s">
        <v>82</v>
      </c>
      <c r="C5" s="3">
        <v>953425</v>
      </c>
      <c r="D5" s="3">
        <v>124726</v>
      </c>
    </row>
    <row r="6" spans="1:4" x14ac:dyDescent="0.25">
      <c r="A6" s="2" t="s">
        <v>83</v>
      </c>
      <c r="B6" s="2" t="s">
        <v>82</v>
      </c>
      <c r="C6" s="3">
        <v>84855</v>
      </c>
      <c r="D6" s="3">
        <v>6052</v>
      </c>
    </row>
    <row r="7" spans="1:4" x14ac:dyDescent="0.25">
      <c r="A7" s="4" t="s">
        <v>84</v>
      </c>
      <c r="B7" s="4" t="s">
        <v>82</v>
      </c>
      <c r="C7" s="5">
        <v>7510</v>
      </c>
      <c r="D7" s="5">
        <v>2997</v>
      </c>
    </row>
    <row r="8" spans="1:4" x14ac:dyDescent="0.25">
      <c r="A8" s="14" t="s">
        <v>85</v>
      </c>
      <c r="C8">
        <v>7730123</v>
      </c>
      <c r="D8">
        <v>7243399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8"/>
  <sheetViews>
    <sheetView tabSelected="1" workbookViewId="0">
      <selection activeCell="D13" sqref="D13"/>
    </sheetView>
  </sheetViews>
  <sheetFormatPr baseColWidth="10" defaultColWidth="9.140625" defaultRowHeight="15" x14ac:dyDescent="0.25"/>
  <cols>
    <col min="1" max="1" width="26" style="7" customWidth="1"/>
    <col min="2" max="2" width="18" style="7" customWidth="1"/>
    <col min="3" max="3" width="16" style="7" customWidth="1"/>
    <col min="4" max="4" width="18" style="7" customWidth="1"/>
    <col min="5" max="5" width="16" style="7" customWidth="1"/>
  </cols>
  <sheetData>
    <row r="1" spans="1:5" x14ac:dyDescent="0.25">
      <c r="A1" s="22" t="s">
        <v>86</v>
      </c>
      <c r="B1" s="23"/>
      <c r="C1" s="23"/>
      <c r="D1" s="23"/>
      <c r="E1" s="23"/>
    </row>
    <row r="2" spans="1:5" x14ac:dyDescent="0.25">
      <c r="A2" s="24" t="s">
        <v>87</v>
      </c>
      <c r="B2" s="20"/>
      <c r="C2" s="20"/>
      <c r="D2" s="20"/>
      <c r="E2" s="20"/>
    </row>
    <row r="3" spans="1:5" x14ac:dyDescent="0.25">
      <c r="A3" s="1" t="s">
        <v>88</v>
      </c>
      <c r="B3" s="1" t="s">
        <v>89</v>
      </c>
      <c r="C3" s="1" t="s">
        <v>90</v>
      </c>
      <c r="D3" s="1" t="s">
        <v>91</v>
      </c>
      <c r="E3" s="1" t="s">
        <v>92</v>
      </c>
    </row>
    <row r="4" spans="1:5" x14ac:dyDescent="0.25">
      <c r="A4" s="2" t="s">
        <v>93</v>
      </c>
      <c r="B4" s="3" t="s">
        <v>94</v>
      </c>
      <c r="C4" s="3">
        <v>15370075</v>
      </c>
      <c r="D4" s="3" t="s">
        <v>95</v>
      </c>
      <c r="E4" s="3">
        <v>12014360</v>
      </c>
    </row>
    <row r="5" spans="1:5" x14ac:dyDescent="0.25">
      <c r="A5" s="2" t="s">
        <v>96</v>
      </c>
      <c r="B5" s="3" t="s">
        <v>97</v>
      </c>
      <c r="C5" s="3">
        <v>2310491</v>
      </c>
      <c r="D5" s="3"/>
      <c r="E5" s="3">
        <v>0</v>
      </c>
    </row>
    <row r="6" spans="1:5" s="15" customFormat="1" x14ac:dyDescent="0.25">
      <c r="A6" s="2" t="s">
        <v>151</v>
      </c>
      <c r="B6" s="3"/>
      <c r="C6" s="3">
        <f>+SUM(C4:C5)</f>
        <v>17680566</v>
      </c>
      <c r="D6" s="3"/>
      <c r="E6" s="3">
        <f>+SUM(E4:E5)</f>
        <v>12014360</v>
      </c>
    </row>
    <row r="7" spans="1:5" x14ac:dyDescent="0.25">
      <c r="A7" s="13" t="s">
        <v>98</v>
      </c>
      <c r="B7" s="3" t="s">
        <v>99</v>
      </c>
      <c r="C7" s="3">
        <v>17680566</v>
      </c>
      <c r="D7" s="3" t="s">
        <v>100</v>
      </c>
      <c r="E7" s="3">
        <v>12014360</v>
      </c>
    </row>
    <row r="8" spans="1:5" s="15" customFormat="1" x14ac:dyDescent="0.25">
      <c r="A8" s="25" t="s">
        <v>87</v>
      </c>
      <c r="B8" s="3"/>
      <c r="C8" s="3"/>
      <c r="D8" s="3"/>
      <c r="E8" s="3"/>
    </row>
    <row r="9" spans="1:5" s="15" customFormat="1" x14ac:dyDescent="0.25">
      <c r="A9" s="26" t="s">
        <v>152</v>
      </c>
      <c r="B9" s="3"/>
      <c r="C9" s="3">
        <v>3952756</v>
      </c>
      <c r="D9" s="3"/>
      <c r="E9" s="3">
        <v>3270920</v>
      </c>
    </row>
    <row r="10" spans="1:5" x14ac:dyDescent="0.25">
      <c r="A10" s="2" t="s">
        <v>101</v>
      </c>
      <c r="B10" s="3" t="s">
        <v>102</v>
      </c>
      <c r="C10" s="3">
        <v>2922898</v>
      </c>
      <c r="D10" s="3"/>
      <c r="E10" s="3">
        <v>0</v>
      </c>
    </row>
    <row r="11" spans="1:5" x14ac:dyDescent="0.25">
      <c r="A11" s="2" t="s">
        <v>103</v>
      </c>
      <c r="B11" s="3" t="s">
        <v>104</v>
      </c>
      <c r="C11" s="3">
        <v>1556566</v>
      </c>
      <c r="D11" s="3"/>
      <c r="E11" s="3">
        <v>0</v>
      </c>
    </row>
    <row r="12" spans="1:5" x14ac:dyDescent="0.25">
      <c r="A12" s="2" t="s">
        <v>105</v>
      </c>
      <c r="B12" s="3" t="s">
        <v>106</v>
      </c>
      <c r="C12" s="3">
        <v>1322807</v>
      </c>
      <c r="D12" s="3"/>
      <c r="E12" s="3">
        <v>0</v>
      </c>
    </row>
    <row r="13" spans="1:5" s="15" customFormat="1" x14ac:dyDescent="0.25">
      <c r="A13" s="2" t="s">
        <v>153</v>
      </c>
      <c r="B13" s="3"/>
      <c r="C13" s="3">
        <v>773999</v>
      </c>
      <c r="D13" s="3"/>
      <c r="E13" s="3">
        <v>0</v>
      </c>
    </row>
    <row r="14" spans="1:5" s="15" customFormat="1" x14ac:dyDescent="0.25">
      <c r="A14" s="2" t="s">
        <v>154</v>
      </c>
      <c r="B14" s="3"/>
      <c r="C14" s="3">
        <v>624886</v>
      </c>
      <c r="D14" s="3"/>
      <c r="E14" s="3">
        <v>2050469</v>
      </c>
    </row>
    <row r="15" spans="1:5" s="15" customFormat="1" x14ac:dyDescent="0.25">
      <c r="A15" s="2" t="s">
        <v>155</v>
      </c>
      <c r="B15" s="3"/>
      <c r="C15" s="3">
        <v>426041</v>
      </c>
      <c r="D15" s="3"/>
      <c r="E15" s="3">
        <v>0</v>
      </c>
    </row>
    <row r="16" spans="1:5" s="15" customFormat="1" x14ac:dyDescent="0.25">
      <c r="A16" s="2" t="s">
        <v>156</v>
      </c>
      <c r="B16" s="3"/>
      <c r="C16" s="3">
        <v>182730</v>
      </c>
      <c r="D16" s="3"/>
      <c r="E16" s="3">
        <v>626042</v>
      </c>
    </row>
    <row r="17" spans="1:5" s="15" customFormat="1" x14ac:dyDescent="0.25">
      <c r="A17" s="2" t="s">
        <v>157</v>
      </c>
      <c r="B17" s="3"/>
      <c r="C17" s="3">
        <v>161423</v>
      </c>
      <c r="D17" s="3"/>
      <c r="E17" s="3">
        <v>0</v>
      </c>
    </row>
    <row r="18" spans="1:5" s="15" customFormat="1" x14ac:dyDescent="0.25">
      <c r="A18" s="2" t="s">
        <v>158</v>
      </c>
      <c r="B18" s="3"/>
      <c r="C18" s="3">
        <v>818</v>
      </c>
      <c r="D18" s="3"/>
      <c r="E18" s="3">
        <v>1112</v>
      </c>
    </row>
    <row r="19" spans="1:5" s="15" customFormat="1" x14ac:dyDescent="0.25">
      <c r="A19" s="2" t="s">
        <v>159</v>
      </c>
      <c r="B19" s="3"/>
      <c r="C19" s="3"/>
      <c r="D19" s="3"/>
      <c r="E19" s="3">
        <v>4420999</v>
      </c>
    </row>
    <row r="20" spans="1:5" s="15" customFormat="1" x14ac:dyDescent="0.25">
      <c r="A20" s="2" t="s">
        <v>84</v>
      </c>
      <c r="B20" s="3"/>
      <c r="C20" s="3"/>
      <c r="D20" s="3"/>
      <c r="E20" s="3">
        <v>480172</v>
      </c>
    </row>
    <row r="21" spans="1:5" s="15" customFormat="1" x14ac:dyDescent="0.25">
      <c r="A21" s="2" t="s">
        <v>160</v>
      </c>
      <c r="B21" s="3"/>
      <c r="C21" s="3"/>
      <c r="D21" s="3"/>
      <c r="E21" s="3">
        <v>2441139</v>
      </c>
    </row>
    <row r="22" spans="1:5" s="15" customFormat="1" x14ac:dyDescent="0.25">
      <c r="A22" s="2" t="s">
        <v>161</v>
      </c>
      <c r="B22" s="3"/>
      <c r="C22" s="3"/>
      <c r="D22" s="3"/>
      <c r="E22" s="3">
        <v>3465823</v>
      </c>
    </row>
    <row r="23" spans="1:5" s="15" customFormat="1" x14ac:dyDescent="0.25">
      <c r="A23" s="2" t="s">
        <v>162</v>
      </c>
      <c r="B23" s="3"/>
      <c r="C23" s="3"/>
      <c r="D23" s="3"/>
      <c r="E23" s="3">
        <v>4972223</v>
      </c>
    </row>
    <row r="24" spans="1:5" x14ac:dyDescent="0.25">
      <c r="A24" s="4" t="s">
        <v>151</v>
      </c>
      <c r="B24" s="4"/>
      <c r="C24" s="5">
        <f>+SUM(C9:C23)</f>
        <v>11924924</v>
      </c>
      <c r="D24" s="4"/>
      <c r="E24" s="5">
        <f>+SUM(E9:E23)</f>
        <v>21728899</v>
      </c>
    </row>
    <row r="25" spans="1:5" x14ac:dyDescent="0.25">
      <c r="A25" s="27" t="s">
        <v>58</v>
      </c>
      <c r="C25" s="29"/>
    </row>
    <row r="26" spans="1:5" x14ac:dyDescent="0.25">
      <c r="A26" s="28" t="s">
        <v>107</v>
      </c>
      <c r="C26" s="29">
        <v>4308</v>
      </c>
      <c r="E26" s="30">
        <v>0</v>
      </c>
    </row>
    <row r="27" spans="1:5" s="15" customFormat="1" x14ac:dyDescent="0.25">
      <c r="A27" s="28" t="s">
        <v>151</v>
      </c>
      <c r="C27" s="29">
        <v>4308</v>
      </c>
      <c r="E27" s="30">
        <v>0</v>
      </c>
    </row>
    <row r="28" spans="1:5" x14ac:dyDescent="0.25">
      <c r="A28" s="14" t="s">
        <v>85</v>
      </c>
      <c r="C28" s="29">
        <v>29609798</v>
      </c>
      <c r="D28" s="29"/>
      <c r="E28" s="29">
        <v>33743259</v>
      </c>
    </row>
  </sheetData>
  <mergeCells count="2">
    <mergeCell ref="A2:E2"/>
    <mergeCell ref="A1:E1"/>
  </mergeCells>
  <pageMargins left="0.75" right="0.75" top="1" bottom="1" header="0.5" footer="0.5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7"/>
  <sheetViews>
    <sheetView workbookViewId="0">
      <selection sqref="A1:C1"/>
    </sheetView>
  </sheetViews>
  <sheetFormatPr baseColWidth="10" defaultColWidth="9.140625" defaultRowHeight="15" x14ac:dyDescent="0.25"/>
  <cols>
    <col min="1" max="1" width="29" style="7" customWidth="1"/>
    <col min="2" max="2" width="16" style="7" customWidth="1"/>
    <col min="3" max="3" width="20" style="7" customWidth="1"/>
  </cols>
  <sheetData>
    <row r="1" spans="1:3" x14ac:dyDescent="0.25">
      <c r="A1" s="22" t="s">
        <v>108</v>
      </c>
      <c r="B1" s="23"/>
      <c r="C1" s="23"/>
    </row>
    <row r="3" spans="1:3" x14ac:dyDescent="0.25">
      <c r="A3" s="1" t="s">
        <v>21</v>
      </c>
      <c r="B3" s="1" t="s">
        <v>78</v>
      </c>
      <c r="C3" s="1" t="s">
        <v>79</v>
      </c>
    </row>
    <row r="4" spans="1:3" x14ac:dyDescent="0.25">
      <c r="A4" s="2" t="s">
        <v>109</v>
      </c>
      <c r="B4" s="3">
        <v>28347</v>
      </c>
      <c r="C4" s="3">
        <v>22645</v>
      </c>
    </row>
    <row r="5" spans="1:3" x14ac:dyDescent="0.25">
      <c r="A5" s="2" t="s">
        <v>110</v>
      </c>
      <c r="B5" s="3">
        <v>6157</v>
      </c>
      <c r="C5" s="3">
        <v>7586</v>
      </c>
    </row>
    <row r="6" spans="1:3" x14ac:dyDescent="0.25">
      <c r="A6" s="2" t="s">
        <v>111</v>
      </c>
      <c r="B6" s="3">
        <v>17</v>
      </c>
      <c r="C6" s="3">
        <v>909</v>
      </c>
    </row>
    <row r="7" spans="1:3" x14ac:dyDescent="0.25">
      <c r="A7" s="12" t="s">
        <v>85</v>
      </c>
      <c r="B7" s="5">
        <v>34521</v>
      </c>
      <c r="C7" s="5">
        <v>31140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9"/>
  <sheetViews>
    <sheetView workbookViewId="0">
      <selection sqref="A1:E1"/>
    </sheetView>
  </sheetViews>
  <sheetFormatPr baseColWidth="10" defaultColWidth="9.140625" defaultRowHeight="15" x14ac:dyDescent="0.25"/>
  <cols>
    <col min="1" max="1" width="24" style="7" customWidth="1"/>
    <col min="2" max="2" width="18" style="7" customWidth="1"/>
    <col min="3" max="3" width="14" style="7" customWidth="1"/>
    <col min="4" max="4" width="18" style="7" customWidth="1"/>
    <col min="5" max="5" width="17" style="7" customWidth="1"/>
  </cols>
  <sheetData>
    <row r="1" spans="1:5" x14ac:dyDescent="0.25">
      <c r="A1" s="22" t="s">
        <v>112</v>
      </c>
      <c r="B1" s="23"/>
      <c r="C1" s="23"/>
      <c r="D1" s="23"/>
      <c r="E1" s="23"/>
    </row>
    <row r="3" spans="1:5" x14ac:dyDescent="0.25">
      <c r="A3" s="1" t="s">
        <v>113</v>
      </c>
      <c r="B3" s="1" t="s">
        <v>114</v>
      </c>
      <c r="C3" s="1" t="s">
        <v>115</v>
      </c>
      <c r="D3" s="1" t="s">
        <v>116</v>
      </c>
      <c r="E3" s="1" t="s">
        <v>117</v>
      </c>
    </row>
    <row r="4" spans="1:5" x14ac:dyDescent="0.25">
      <c r="A4" s="2" t="s">
        <v>118</v>
      </c>
      <c r="B4" s="3">
        <v>15.57</v>
      </c>
      <c r="C4" s="3">
        <v>748851</v>
      </c>
      <c r="D4" s="3">
        <v>10</v>
      </c>
      <c r="E4" s="3">
        <v>11660440</v>
      </c>
    </row>
    <row r="5" spans="1:5" x14ac:dyDescent="0.25">
      <c r="A5" s="2" t="s">
        <v>119</v>
      </c>
      <c r="B5" s="3">
        <v>15.22</v>
      </c>
      <c r="C5" s="3">
        <v>504569</v>
      </c>
      <c r="D5" s="3">
        <v>17</v>
      </c>
      <c r="E5" s="3">
        <v>7678050</v>
      </c>
    </row>
    <row r="6" spans="1:5" x14ac:dyDescent="0.25">
      <c r="A6" s="2" t="s">
        <v>120</v>
      </c>
      <c r="B6" s="3">
        <v>15.33</v>
      </c>
      <c r="C6" s="3">
        <v>444333</v>
      </c>
      <c r="D6" s="3">
        <v>37</v>
      </c>
      <c r="E6" s="3">
        <v>6812058</v>
      </c>
    </row>
    <row r="7" spans="1:5" x14ac:dyDescent="0.25">
      <c r="A7" s="2" t="s">
        <v>121</v>
      </c>
      <c r="B7" s="3">
        <v>14.99</v>
      </c>
      <c r="C7" s="3">
        <v>395310</v>
      </c>
      <c r="D7" s="3">
        <v>91</v>
      </c>
      <c r="E7" s="3">
        <v>5924393</v>
      </c>
    </row>
    <row r="8" spans="1:5" x14ac:dyDescent="0.25">
      <c r="A8" s="2" t="s">
        <v>122</v>
      </c>
      <c r="B8" s="3">
        <v>12.41</v>
      </c>
      <c r="C8" s="3">
        <v>420412</v>
      </c>
      <c r="D8" s="3">
        <v>4</v>
      </c>
      <c r="E8" s="3">
        <v>5219021</v>
      </c>
    </row>
    <row r="9" spans="1:5" x14ac:dyDescent="0.25">
      <c r="A9" s="12" t="s">
        <v>85</v>
      </c>
      <c r="B9" s="4"/>
      <c r="C9" s="4"/>
      <c r="D9" s="4"/>
      <c r="E9" s="5">
        <v>37293962</v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9"/>
  <sheetViews>
    <sheetView workbookViewId="0">
      <selection sqref="A1:E1"/>
    </sheetView>
  </sheetViews>
  <sheetFormatPr baseColWidth="10" defaultColWidth="9.140625" defaultRowHeight="15" x14ac:dyDescent="0.25"/>
  <cols>
    <col min="1" max="1" width="24" style="7" customWidth="1"/>
    <col min="2" max="2" width="18" style="7" customWidth="1"/>
    <col min="3" max="3" width="14" style="7" customWidth="1"/>
    <col min="4" max="4" width="18" style="7" customWidth="1"/>
    <col min="5" max="5" width="17" style="7" customWidth="1"/>
  </cols>
  <sheetData>
    <row r="1" spans="1:5" x14ac:dyDescent="0.25">
      <c r="A1" s="22" t="s">
        <v>123</v>
      </c>
      <c r="B1" s="23"/>
      <c r="C1" s="23"/>
      <c r="D1" s="23"/>
      <c r="E1" s="23"/>
    </row>
    <row r="3" spans="1:5" x14ac:dyDescent="0.25">
      <c r="A3" s="1" t="s">
        <v>113</v>
      </c>
      <c r="B3" s="1" t="s">
        <v>114</v>
      </c>
      <c r="C3" s="1" t="s">
        <v>115</v>
      </c>
      <c r="D3" s="1" t="s">
        <v>116</v>
      </c>
      <c r="E3" s="1" t="s">
        <v>117</v>
      </c>
    </row>
    <row r="4" spans="1:5" x14ac:dyDescent="0.25">
      <c r="A4" s="2" t="s">
        <v>118</v>
      </c>
      <c r="B4" s="3">
        <v>14.78</v>
      </c>
      <c r="C4" s="3">
        <v>1173741</v>
      </c>
      <c r="D4" s="3">
        <v>10</v>
      </c>
      <c r="E4" s="3">
        <v>17348905</v>
      </c>
    </row>
    <row r="5" spans="1:5" x14ac:dyDescent="0.25">
      <c r="A5" s="2" t="s">
        <v>120</v>
      </c>
      <c r="B5" s="3">
        <v>14.58</v>
      </c>
      <c r="C5" s="3">
        <v>592657</v>
      </c>
      <c r="D5" s="3">
        <v>34</v>
      </c>
      <c r="E5" s="3">
        <v>8641860</v>
      </c>
    </row>
    <row r="6" spans="1:5" x14ac:dyDescent="0.25">
      <c r="A6" s="2" t="s">
        <v>122</v>
      </c>
      <c r="B6" s="3">
        <v>11.73</v>
      </c>
      <c r="C6" s="3">
        <v>469608</v>
      </c>
      <c r="D6" s="3">
        <v>4</v>
      </c>
      <c r="E6" s="3">
        <v>5506528</v>
      </c>
    </row>
    <row r="7" spans="1:5" x14ac:dyDescent="0.25">
      <c r="A7" s="2" t="s">
        <v>119</v>
      </c>
      <c r="B7" s="3">
        <v>14.49</v>
      </c>
      <c r="C7" s="3">
        <v>335535</v>
      </c>
      <c r="D7" s="3">
        <v>11</v>
      </c>
      <c r="E7" s="3">
        <v>4861033</v>
      </c>
    </row>
    <row r="8" spans="1:5" x14ac:dyDescent="0.25">
      <c r="A8" s="2" t="s">
        <v>121</v>
      </c>
      <c r="B8" s="3">
        <v>14.3</v>
      </c>
      <c r="C8" s="3">
        <v>321571</v>
      </c>
      <c r="D8" s="3">
        <v>76</v>
      </c>
      <c r="E8" s="3">
        <v>4597191</v>
      </c>
    </row>
    <row r="9" spans="1:5" x14ac:dyDescent="0.25">
      <c r="A9" s="12" t="s">
        <v>85</v>
      </c>
      <c r="B9" s="4"/>
      <c r="C9" s="4"/>
      <c r="D9" s="4"/>
      <c r="E9" s="5">
        <v>40955518</v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12"/>
  <sheetViews>
    <sheetView workbookViewId="0">
      <selection sqref="A1:E1"/>
    </sheetView>
  </sheetViews>
  <sheetFormatPr baseColWidth="10" defaultColWidth="9.140625" defaultRowHeight="15" x14ac:dyDescent="0.25"/>
  <cols>
    <col min="1" max="1" width="38" style="7" customWidth="1"/>
    <col min="2" max="5" width="15" style="7" customWidth="1"/>
  </cols>
  <sheetData>
    <row r="1" spans="1:5" x14ac:dyDescent="0.25">
      <c r="A1" s="22" t="s">
        <v>124</v>
      </c>
      <c r="B1" s="23"/>
      <c r="C1" s="23"/>
      <c r="D1" s="23"/>
      <c r="E1" s="23"/>
    </row>
    <row r="3" spans="1:5" x14ac:dyDescent="0.25">
      <c r="A3" s="1" t="s">
        <v>21</v>
      </c>
      <c r="B3" s="1" t="s">
        <v>125</v>
      </c>
      <c r="C3" s="1" t="s">
        <v>126</v>
      </c>
      <c r="D3" s="1" t="s">
        <v>127</v>
      </c>
      <c r="E3" s="1" t="s">
        <v>128</v>
      </c>
    </row>
    <row r="4" spans="1:5" x14ac:dyDescent="0.25">
      <c r="A4" s="2" t="s">
        <v>129</v>
      </c>
      <c r="B4" s="3">
        <v>1692794</v>
      </c>
      <c r="C4" s="3">
        <v>1617371</v>
      </c>
      <c r="D4" s="3">
        <v>1140534</v>
      </c>
      <c r="E4" s="3">
        <v>1306001</v>
      </c>
    </row>
    <row r="5" spans="1:5" x14ac:dyDescent="0.25">
      <c r="A5" s="2" t="s">
        <v>130</v>
      </c>
      <c r="B5" s="3">
        <v>489368</v>
      </c>
      <c r="C5" s="3">
        <v>164399</v>
      </c>
      <c r="D5" s="3">
        <v>269906</v>
      </c>
      <c r="E5" s="3">
        <v>19093</v>
      </c>
    </row>
    <row r="6" spans="1:5" x14ac:dyDescent="0.25">
      <c r="A6" s="2" t="s">
        <v>131</v>
      </c>
      <c r="B6" s="3">
        <v>264958</v>
      </c>
      <c r="C6" s="3">
        <v>337841</v>
      </c>
      <c r="D6" s="3">
        <v>43203</v>
      </c>
      <c r="E6" s="3">
        <v>152961</v>
      </c>
    </row>
    <row r="7" spans="1:5" x14ac:dyDescent="0.25">
      <c r="A7" s="2" t="s">
        <v>132</v>
      </c>
      <c r="B7" s="3">
        <v>83167</v>
      </c>
      <c r="C7" s="3">
        <v>67646</v>
      </c>
      <c r="D7" s="3">
        <v>85014</v>
      </c>
      <c r="E7" s="3">
        <v>0</v>
      </c>
    </row>
    <row r="8" spans="1:5" x14ac:dyDescent="0.25">
      <c r="A8" s="2" t="s">
        <v>133</v>
      </c>
      <c r="B8" s="3">
        <v>5143</v>
      </c>
      <c r="C8" s="3">
        <v>0</v>
      </c>
      <c r="D8" s="3">
        <v>5143</v>
      </c>
      <c r="E8" s="3">
        <v>0</v>
      </c>
    </row>
    <row r="9" spans="1:5" x14ac:dyDescent="0.25">
      <c r="A9" s="2" t="s">
        <v>134</v>
      </c>
      <c r="B9" s="3">
        <v>25</v>
      </c>
      <c r="C9" s="3">
        <v>0</v>
      </c>
      <c r="D9" s="3">
        <v>24</v>
      </c>
      <c r="E9" s="3">
        <v>0</v>
      </c>
    </row>
    <row r="10" spans="1:5" x14ac:dyDescent="0.25">
      <c r="A10" s="2" t="s">
        <v>135</v>
      </c>
      <c r="B10" s="3">
        <v>0</v>
      </c>
      <c r="C10" s="3">
        <v>356</v>
      </c>
      <c r="D10" s="3">
        <v>0</v>
      </c>
      <c r="E10" s="3">
        <v>356</v>
      </c>
    </row>
    <row r="11" spans="1:5" x14ac:dyDescent="0.25">
      <c r="A11" s="13" t="s">
        <v>85</v>
      </c>
      <c r="B11" s="3">
        <v>2632705</v>
      </c>
      <c r="C11" s="3">
        <v>2712177</v>
      </c>
      <c r="D11" s="3">
        <v>1699793</v>
      </c>
      <c r="E11" s="3">
        <v>2014496</v>
      </c>
    </row>
    <row r="12" spans="1:5" x14ac:dyDescent="0.25">
      <c r="A12" s="4" t="s">
        <v>85</v>
      </c>
      <c r="B12" s="5">
        <v>12098783</v>
      </c>
      <c r="C12" s="5">
        <v>2842206</v>
      </c>
      <c r="D12" s="5">
        <v>1928822</v>
      </c>
      <c r="E12" s="5">
        <v>1041929</v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9"/>
  <sheetViews>
    <sheetView workbookViewId="0">
      <selection sqref="A1:E1"/>
    </sheetView>
  </sheetViews>
  <sheetFormatPr baseColWidth="10" defaultColWidth="9.140625" defaultRowHeight="15" x14ac:dyDescent="0.25"/>
  <cols>
    <col min="1" max="1" width="32" style="7" customWidth="1"/>
    <col min="2" max="5" width="15" style="7" customWidth="1"/>
  </cols>
  <sheetData>
    <row r="1" spans="1:5" x14ac:dyDescent="0.25">
      <c r="A1" s="22" t="s">
        <v>136</v>
      </c>
      <c r="B1" s="23"/>
      <c r="C1" s="23"/>
      <c r="D1" s="23"/>
      <c r="E1" s="23"/>
    </row>
    <row r="3" spans="1:5" x14ac:dyDescent="0.25">
      <c r="A3" s="1" t="s">
        <v>21</v>
      </c>
      <c r="B3" s="1" t="s">
        <v>125</v>
      </c>
      <c r="C3" s="1" t="s">
        <v>126</v>
      </c>
      <c r="D3" s="1" t="s">
        <v>127</v>
      </c>
      <c r="E3" s="1" t="s">
        <v>128</v>
      </c>
    </row>
    <row r="4" spans="1:5" x14ac:dyDescent="0.25">
      <c r="A4" s="2" t="s">
        <v>137</v>
      </c>
      <c r="B4" s="3">
        <v>206530</v>
      </c>
      <c r="C4" s="3">
        <v>0</v>
      </c>
      <c r="D4" s="3">
        <v>215787</v>
      </c>
      <c r="E4" s="3">
        <v>0</v>
      </c>
    </row>
    <row r="5" spans="1:5" x14ac:dyDescent="0.25">
      <c r="A5" s="2" t="s">
        <v>138</v>
      </c>
      <c r="B5" s="3">
        <v>119881</v>
      </c>
      <c r="C5" s="3">
        <v>90602</v>
      </c>
      <c r="D5" s="3">
        <v>125394</v>
      </c>
      <c r="E5" s="3">
        <v>457</v>
      </c>
    </row>
    <row r="6" spans="1:5" x14ac:dyDescent="0.25">
      <c r="A6" s="4" t="s">
        <v>139</v>
      </c>
      <c r="B6" s="5">
        <v>108295</v>
      </c>
      <c r="C6" s="5">
        <v>0</v>
      </c>
      <c r="D6" s="5">
        <v>0</v>
      </c>
      <c r="E6" s="5">
        <v>0</v>
      </c>
    </row>
    <row r="7" spans="1:5" x14ac:dyDescent="0.25">
      <c r="A7" t="s">
        <v>140</v>
      </c>
      <c r="B7">
        <v>2882</v>
      </c>
      <c r="C7">
        <v>4463</v>
      </c>
      <c r="D7">
        <v>1892</v>
      </c>
      <c r="E7">
        <v>2474</v>
      </c>
    </row>
    <row r="9" spans="1:5" x14ac:dyDescent="0.25">
      <c r="A9" s="14" t="s">
        <v>85</v>
      </c>
      <c r="B9">
        <v>520981</v>
      </c>
      <c r="C9">
        <v>219857</v>
      </c>
      <c r="D9">
        <v>356628</v>
      </c>
      <c r="E9">
        <v>327991</v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9"/>
  <sheetViews>
    <sheetView workbookViewId="0">
      <selection sqref="A1:E1"/>
    </sheetView>
  </sheetViews>
  <sheetFormatPr baseColWidth="10" defaultColWidth="9.140625" defaultRowHeight="15" x14ac:dyDescent="0.25"/>
  <cols>
    <col min="1" max="1" width="29" style="7" customWidth="1"/>
    <col min="2" max="5" width="15" style="7" customWidth="1"/>
  </cols>
  <sheetData>
    <row r="1" spans="1:5" x14ac:dyDescent="0.25">
      <c r="A1" s="22" t="s">
        <v>141</v>
      </c>
      <c r="B1" s="23"/>
      <c r="C1" s="23"/>
      <c r="D1" s="23"/>
      <c r="E1" s="23"/>
    </row>
    <row r="3" spans="1:5" x14ac:dyDescent="0.25">
      <c r="A3" s="1" t="s">
        <v>21</v>
      </c>
      <c r="B3" s="1" t="s">
        <v>125</v>
      </c>
      <c r="C3" s="1" t="s">
        <v>126</v>
      </c>
      <c r="D3" s="1" t="s">
        <v>127</v>
      </c>
      <c r="E3" s="1" t="s">
        <v>128</v>
      </c>
    </row>
    <row r="4" spans="1:5" x14ac:dyDescent="0.25">
      <c r="A4" s="2" t="s">
        <v>110</v>
      </c>
      <c r="B4" s="3">
        <v>224434</v>
      </c>
      <c r="C4" s="3">
        <v>239171</v>
      </c>
      <c r="D4" s="3">
        <v>108428</v>
      </c>
      <c r="E4" s="3">
        <v>112679</v>
      </c>
    </row>
    <row r="5" spans="1:5" x14ac:dyDescent="0.25">
      <c r="A5" s="2" t="s">
        <v>142</v>
      </c>
      <c r="B5" s="3">
        <v>6550</v>
      </c>
      <c r="C5" s="3">
        <v>6227</v>
      </c>
      <c r="D5" s="3">
        <v>3274</v>
      </c>
      <c r="E5" s="3">
        <v>3383</v>
      </c>
    </row>
    <row r="6" spans="1:5" x14ac:dyDescent="0.25">
      <c r="A6" s="2" t="s">
        <v>143</v>
      </c>
      <c r="B6" s="3">
        <v>950</v>
      </c>
      <c r="C6" s="3">
        <v>1098</v>
      </c>
      <c r="D6" s="3">
        <v>468</v>
      </c>
      <c r="E6" s="3">
        <v>547</v>
      </c>
    </row>
    <row r="7" spans="1:5" x14ac:dyDescent="0.25">
      <c r="A7" s="2" t="s">
        <v>144</v>
      </c>
      <c r="B7" s="3">
        <v>675</v>
      </c>
      <c r="C7" s="3">
        <v>667</v>
      </c>
      <c r="D7" s="3">
        <v>578</v>
      </c>
      <c r="E7" s="3">
        <v>545</v>
      </c>
    </row>
    <row r="8" spans="1:5" x14ac:dyDescent="0.25">
      <c r="A8" s="2" t="s">
        <v>145</v>
      </c>
      <c r="B8" s="3">
        <v>0</v>
      </c>
      <c r="C8" s="3">
        <v>0</v>
      </c>
      <c r="D8" s="3">
        <v>-64</v>
      </c>
      <c r="E8" s="3">
        <v>0</v>
      </c>
    </row>
    <row r="9" spans="1:5" x14ac:dyDescent="0.25">
      <c r="A9" s="12" t="s">
        <v>85</v>
      </c>
      <c r="B9" s="5">
        <v>232609</v>
      </c>
      <c r="C9" s="5">
        <v>254527</v>
      </c>
      <c r="D9" s="5">
        <v>112695</v>
      </c>
      <c r="E9" s="5">
        <v>124519</v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8"/>
  <sheetViews>
    <sheetView workbookViewId="0">
      <selection activeCell="G26" sqref="G26"/>
    </sheetView>
  </sheetViews>
  <sheetFormatPr baseColWidth="10" defaultColWidth="9.140625" defaultRowHeight="15" x14ac:dyDescent="0.25"/>
  <cols>
    <col min="1" max="1" width="30" style="7" customWidth="1"/>
    <col min="2" max="2" width="14" style="7" customWidth="1"/>
    <col min="3" max="3" width="17" style="7" customWidth="1"/>
    <col min="4" max="4" width="20" style="7" customWidth="1"/>
    <col min="5" max="5" width="14" style="7" customWidth="1"/>
  </cols>
  <sheetData>
    <row r="1" spans="1:5" x14ac:dyDescent="0.25">
      <c r="A1" s="22" t="s">
        <v>146</v>
      </c>
      <c r="B1" s="23"/>
      <c r="C1" s="23"/>
      <c r="D1" s="23"/>
      <c r="E1" s="23"/>
    </row>
    <row r="3" spans="1:5" x14ac:dyDescent="0.25">
      <c r="A3" s="1" t="s">
        <v>21</v>
      </c>
      <c r="B3" s="1" t="s">
        <v>147</v>
      </c>
      <c r="C3" s="1" t="s">
        <v>148</v>
      </c>
      <c r="D3" s="1" t="s">
        <v>149</v>
      </c>
      <c r="E3" s="1" t="s">
        <v>150</v>
      </c>
    </row>
    <row r="4" spans="1:5" x14ac:dyDescent="0.25">
      <c r="A4" s="2" t="s">
        <v>75</v>
      </c>
      <c r="B4" s="3">
        <v>7730123</v>
      </c>
      <c r="C4" s="3">
        <v>6684333</v>
      </c>
      <c r="D4" s="3">
        <v>1045790</v>
      </c>
      <c r="E4" s="3">
        <v>7243399</v>
      </c>
    </row>
    <row r="5" spans="1:5" x14ac:dyDescent="0.25">
      <c r="A5" s="2" t="s">
        <v>66</v>
      </c>
      <c r="B5" s="3">
        <v>29609798</v>
      </c>
      <c r="C5" s="3">
        <v>29609798</v>
      </c>
      <c r="D5" s="3">
        <v>0</v>
      </c>
      <c r="E5" s="3">
        <v>33743259</v>
      </c>
    </row>
    <row r="6" spans="1:5" x14ac:dyDescent="0.25">
      <c r="A6" s="2" t="s">
        <v>6</v>
      </c>
      <c r="B6" s="3">
        <v>1563</v>
      </c>
      <c r="C6" s="3">
        <v>0</v>
      </c>
      <c r="D6" s="3">
        <v>1563</v>
      </c>
      <c r="E6" s="3">
        <v>0</v>
      </c>
    </row>
    <row r="7" spans="1:5" x14ac:dyDescent="0.25">
      <c r="A7" s="2" t="s">
        <v>7</v>
      </c>
      <c r="B7" s="3">
        <v>37341484</v>
      </c>
      <c r="C7" s="3">
        <v>36294131</v>
      </c>
      <c r="D7" s="3">
        <v>1047353</v>
      </c>
      <c r="E7" s="3">
        <v>40986658</v>
      </c>
    </row>
    <row r="8" spans="1:5" x14ac:dyDescent="0.25">
      <c r="A8" s="14" t="s">
        <v>10</v>
      </c>
      <c r="B8">
        <v>47522</v>
      </c>
      <c r="C8">
        <v>13001</v>
      </c>
      <c r="D8">
        <v>34521</v>
      </c>
      <c r="E8">
        <v>31140</v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BALANCE</vt:lpstr>
      <vt:lpstr>ESTADO_RESULTADOS</vt:lpstr>
      <vt:lpstr>ESTADO_CAMBIOS</vt:lpstr>
      <vt:lpstr>FLUJO_EFECTIVO</vt:lpstr>
      <vt:lpstr>VALOR_RAZONABLE_JERARQUIA</vt:lpstr>
      <vt:lpstr>VALOR_RAZONABLE_ACTIVOS</vt:lpstr>
      <vt:lpstr>VALOR_RAZONABLE_PASIVOS</vt:lpstr>
      <vt:lpstr>PARTES_RELACIONADAS_ACTIVOS</vt:lpstr>
      <vt:lpstr>PARTES_RELACIONADAS_PASIVOS</vt:lpstr>
      <vt:lpstr>EFECTIVO</vt:lpstr>
      <vt:lpstr>INSTRUMENTOS</vt:lpstr>
      <vt:lpstr>CUENTAS_POR_PAGAR</vt:lpstr>
      <vt:lpstr>ACTIVOS_NETOS_ACTUAL</vt:lpstr>
      <vt:lpstr>ACTIVOS_NETOS_ANTERIOR</vt:lpstr>
      <vt:lpstr>INGRESOS_OPE</vt:lpstr>
      <vt:lpstr>GASTOS_OPE</vt:lpstr>
      <vt:lpstr>GASTOS_ADM</vt:lpstr>
      <vt:lpstr>RIESGOS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2026-05-24T18:04:21Z</dcterms:created>
  <dcterms:modified xsi:type="dcterms:W3CDTF">2026-06-01T01:52:02Z</dcterms:modified>
</cp:coreProperties>
</file>